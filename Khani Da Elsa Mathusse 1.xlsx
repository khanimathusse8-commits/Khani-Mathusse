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 14\Desktop\Khani\"/>
    </mc:Choice>
  </mc:AlternateContent>
  <xr:revisionPtr revIDLastSave="0" documentId="13_ncr:1_{FA7E8EC4-A6B2-40CB-B84A-A14220F5E6AD}" xr6:coauthVersionLast="36" xr6:coauthVersionMax="36" xr10:uidLastSave="{00000000-0000-0000-0000-000000000000}"/>
  <bookViews>
    <workbookView xWindow="0" yWindow="0" windowWidth="20490" windowHeight="7425" activeTab="4" xr2:uid="{75C6A9D0-EC2A-4AA3-91AD-C2280D4B1768}"/>
  </bookViews>
  <sheets>
    <sheet name="Gestao de Despesas" sheetId="1" r:id="rId1"/>
    <sheet name="Calculos" sheetId="2" r:id="rId2"/>
    <sheet name="Resumo Dinamico" sheetId="15" r:id="rId3"/>
    <sheet name="Estatistica" sheetId="3" r:id="rId4"/>
    <sheet name="Avaliacao" sheetId="4" r:id="rId5"/>
    <sheet name="Automacao" sheetId="14" r:id="rId6"/>
  </sheets>
  <definedNames>
    <definedName name="_xlcn.WorksheetConnection_CalculosB1C111" hidden="1">Calculos!$B$1:$C$11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alculos!$B$1:$C$11"/>
        </x15:modelTables>
      </x15:dataModel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  <c r="G12" i="1"/>
  <c r="H12" i="1"/>
  <c r="I12" i="1"/>
  <c r="J12" i="1"/>
  <c r="K12" i="1"/>
  <c r="L12" i="1"/>
  <c r="M12" i="1"/>
  <c r="N12" i="1"/>
  <c r="N3" i="1"/>
  <c r="N4" i="1"/>
  <c r="N5" i="1"/>
  <c r="N6" i="1"/>
  <c r="N7" i="1"/>
  <c r="N8" i="1"/>
  <c r="N9" i="1"/>
  <c r="N10" i="1"/>
  <c r="N11" i="1"/>
  <c r="N2" i="1"/>
  <c r="E3" i="4" l="1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2" i="4"/>
  <c r="F2" i="4" s="1"/>
  <c r="F3" i="3"/>
  <c r="F4" i="3"/>
  <c r="F5" i="3"/>
  <c r="F6" i="3"/>
  <c r="F7" i="3"/>
  <c r="F8" i="3"/>
  <c r="F9" i="3"/>
  <c r="F10" i="3"/>
  <c r="F11" i="3"/>
  <c r="E3" i="3"/>
  <c r="E4" i="3"/>
  <c r="E5" i="3"/>
  <c r="E6" i="3"/>
  <c r="E7" i="3"/>
  <c r="E8" i="3"/>
  <c r="E9" i="3"/>
  <c r="E10" i="3"/>
  <c r="E11" i="3"/>
  <c r="F2" i="3"/>
  <c r="E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BC1EA7-29E8-4E54-836D-B5B2982EA809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2954C5-8699-4DC4-9CD7-2073C0E0C917}" name="WorksheetConnection_Calculos!$B$1:$C$11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CalculosB1C111"/>
        </x15:connection>
      </ext>
    </extLst>
  </connection>
</connections>
</file>

<file path=xl/sharedStrings.xml><?xml version="1.0" encoding="utf-8"?>
<sst xmlns="http://schemas.openxmlformats.org/spreadsheetml/2006/main" count="78" uniqueCount="47">
  <si>
    <t>Despesa</t>
  </si>
  <si>
    <t>Alimentacao</t>
  </si>
  <si>
    <t>Transporte</t>
  </si>
  <si>
    <t>Energia</t>
  </si>
  <si>
    <t>Agua</t>
  </si>
  <si>
    <t>Internet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</si>
  <si>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</si>
  <si>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</si>
  <si>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</si>
  <si>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</si>
  <si>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</si>
  <si>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</si>
  <si>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</si>
  <si>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</si>
  <si>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</si>
  <si>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</si>
  <si>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</si>
  <si>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</si>
  <si>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</si>
  <si>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Educao</t>
  </si>
  <si>
    <t>Saude</t>
  </si>
  <si>
    <t>Lazer</t>
  </si>
  <si>
    <t>Vestuario</t>
  </si>
  <si>
    <t>Outros</t>
  </si>
  <si>
    <t>Nome</t>
  </si>
  <si>
    <t>Ana</t>
  </si>
  <si>
    <t>Bruno</t>
  </si>
  <si>
    <t>Carla</t>
  </si>
  <si>
    <t>Daniel</t>
  </si>
  <si>
    <t>Elsa</t>
  </si>
  <si>
    <t>Fernando</t>
  </si>
  <si>
    <t>Gina</t>
  </si>
  <si>
    <t>Hugo</t>
  </si>
  <si>
    <r>
      <t>Jo</t>
    </r>
    <r>
      <rPr>
        <sz val="11"/>
        <color theme="1"/>
        <rFont val="Calibri"/>
        <family val="2"/>
      </rPr>
      <t>ão</t>
    </r>
  </si>
  <si>
    <r>
      <t>In</t>
    </r>
    <r>
      <rPr>
        <sz val="11"/>
        <color theme="1"/>
        <rFont val="Calibri"/>
        <family val="2"/>
      </rPr>
      <t>ê</t>
    </r>
    <r>
      <rPr>
        <sz val="11"/>
        <color theme="1"/>
        <rFont val="Calibri"/>
        <family val="2"/>
        <scheme val="minor"/>
      </rPr>
      <t>s</t>
    </r>
  </si>
  <si>
    <t>Teste 1</t>
  </si>
  <si>
    <t>Teste 2</t>
  </si>
  <si>
    <t>Trabalho</t>
  </si>
  <si>
    <t>MF</t>
  </si>
  <si>
    <t>Situacao</t>
  </si>
  <si>
    <t>Soma</t>
  </si>
  <si>
    <t>Maximo</t>
  </si>
  <si>
    <t>Minimo</t>
  </si>
  <si>
    <t>Media</t>
  </si>
  <si>
    <t>Sum of Teste 1</t>
  </si>
  <si>
    <t>Sum of Teste 2</t>
  </si>
  <si>
    <t>Sum of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</si>
</sst>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[$MZN]\ * #,##0.00_-;\-[$MZN]\ * #,##0.00_-;_-[$MZN]\ * &quot;-&quot;??_-;_-@_-"/>
    <numFmt numFmtId="165" formatCode="[$MZN]\ #,##0"/>
    <numFmt numFmtId="166" formatCode="[$MZN]\ #,##0.00;\-[$MZN]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Fill="1" applyBorder="1"/>
    <xf numFmtId="0" fontId="0" fillId="0" borderId="0" xfId="0" applyNumberFormat="1"/>
    <xf numFmtId="0" fontId="0" fillId="3" borderId="1" xfId="0" applyFill="1" applyBorder="1"/>
    <xf numFmtId="165" fontId="0" fillId="0" borderId="1" xfId="1" applyNumberFormat="1" applyFont="1" applyBorder="1"/>
    <xf numFmtId="0" fontId="0" fillId="4" borderId="0" xfId="0" applyFill="1"/>
    <xf numFmtId="0" fontId="0" fillId="4" borderId="1" xfId="0" applyFill="1" applyBorder="1"/>
    <xf numFmtId="0" fontId="0" fillId="2" borderId="1" xfId="0" applyFill="1" applyBorder="1"/>
    <xf numFmtId="0" fontId="2" fillId="0" borderId="1" xfId="0" applyFont="1" applyBorder="1"/>
    <xf numFmtId="166" fontId="0" fillId="0" borderId="1" xfId="1" applyNumberFormat="1" applyFont="1" applyBorder="1"/>
    <xf numFmtId="166" fontId="0" fillId="0" borderId="1" xfId="1" applyNumberFormat="1" applyFont="1" applyFill="1" applyBorder="1"/>
    <xf numFmtId="166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1.6008311461067366E-3"/>
          <c:y val="0.30737143005639145"/>
          <c:w val="0.93888888888888888"/>
          <c:h val="0.49682908448325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Avaliacao!$B$1</c:f>
              <c:strCache>
                <c:ptCount val="1"/>
                <c:pt idx="0">
                  <c:v>Teste 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Avaliacao!$A$2:$A$11</c:f>
              <c:strCache>
                <c:ptCount val="10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Daniel</c:v>
                </c:pt>
                <c:pt idx="4">
                  <c:v>Elsa</c:v>
                </c:pt>
                <c:pt idx="5">
                  <c:v>Fernando</c:v>
                </c:pt>
                <c:pt idx="6">
                  <c:v>Gina</c:v>
                </c:pt>
                <c:pt idx="7">
                  <c:v>Hugo</c:v>
                </c:pt>
                <c:pt idx="8">
                  <c:v>Inês</c:v>
                </c:pt>
                <c:pt idx="9">
                  <c:v>João</c:v>
                </c:pt>
              </c:strCache>
            </c:strRef>
          </c:cat>
          <c:val>
            <c:numRef>
              <c:f>Avaliacao!$B$2:$B$11</c:f>
              <c:numCache>
                <c:formatCode>General</c:formatCode>
                <c:ptCount val="10"/>
                <c:pt idx="0">
                  <c:v>12</c:v>
                </c:pt>
                <c:pt idx="1">
                  <c:v>9</c:v>
                </c:pt>
                <c:pt idx="2">
                  <c:v>15</c:v>
                </c:pt>
                <c:pt idx="3">
                  <c:v>7</c:v>
                </c:pt>
                <c:pt idx="4">
                  <c:v>13</c:v>
                </c:pt>
                <c:pt idx="5">
                  <c:v>10</c:v>
                </c:pt>
                <c:pt idx="6">
                  <c:v>8</c:v>
                </c:pt>
                <c:pt idx="7">
                  <c:v>16</c:v>
                </c:pt>
                <c:pt idx="8">
                  <c:v>11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A-4685-949E-15EF872E640C}"/>
            </c:ext>
          </c:extLst>
        </c:ser>
        <c:ser>
          <c:idx val="1"/>
          <c:order val="1"/>
          <c:tx>
            <c:strRef>
              <c:f>Avaliacao!$C$1</c:f>
              <c:strCache>
                <c:ptCount val="1"/>
                <c:pt idx="0">
                  <c:v>Teste 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Avaliacao!$A$2:$A$11</c:f>
              <c:strCache>
                <c:ptCount val="10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Daniel</c:v>
                </c:pt>
                <c:pt idx="4">
                  <c:v>Elsa</c:v>
                </c:pt>
                <c:pt idx="5">
                  <c:v>Fernando</c:v>
                </c:pt>
                <c:pt idx="6">
                  <c:v>Gina</c:v>
                </c:pt>
                <c:pt idx="7">
                  <c:v>Hugo</c:v>
                </c:pt>
                <c:pt idx="8">
                  <c:v>Inês</c:v>
                </c:pt>
                <c:pt idx="9">
                  <c:v>João</c:v>
                </c:pt>
              </c:strCache>
            </c:strRef>
          </c:cat>
          <c:val>
            <c:numRef>
              <c:f>Avaliacao!$C$2:$C$11</c:f>
              <c:numCache>
                <c:formatCode>General</c:formatCode>
                <c:ptCount val="10"/>
                <c:pt idx="0">
                  <c:v>14</c:v>
                </c:pt>
                <c:pt idx="1">
                  <c:v>10</c:v>
                </c:pt>
                <c:pt idx="2">
                  <c:v>16</c:v>
                </c:pt>
                <c:pt idx="3">
                  <c:v>8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15</c:v>
                </c:pt>
                <c:pt idx="8">
                  <c:v>10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2A-4685-949E-15EF872E640C}"/>
            </c:ext>
          </c:extLst>
        </c:ser>
        <c:ser>
          <c:idx val="3"/>
          <c:order val="2"/>
          <c:tx>
            <c:strRef>
              <c:f>Avaliacao!$E$1</c:f>
              <c:strCache>
                <c:ptCount val="1"/>
                <c:pt idx="0">
                  <c:v>MF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Avaliacao!$A$2:$A$11</c:f>
              <c:strCache>
                <c:ptCount val="10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Daniel</c:v>
                </c:pt>
                <c:pt idx="4">
                  <c:v>Elsa</c:v>
                </c:pt>
                <c:pt idx="5">
                  <c:v>Fernando</c:v>
                </c:pt>
                <c:pt idx="6">
                  <c:v>Gina</c:v>
                </c:pt>
                <c:pt idx="7">
                  <c:v>Hugo</c:v>
                </c:pt>
                <c:pt idx="8">
                  <c:v>Inês</c:v>
                </c:pt>
                <c:pt idx="9">
                  <c:v>João</c:v>
                </c:pt>
              </c:strCache>
            </c:strRef>
          </c:cat>
          <c:val>
            <c:numRef>
              <c:f>Avaliacao!$E$2:$E$11</c:f>
              <c:numCache>
                <c:formatCode>General</c:formatCode>
                <c:ptCount val="10"/>
                <c:pt idx="0">
                  <c:v>13</c:v>
                </c:pt>
                <c:pt idx="1">
                  <c:v>9</c:v>
                </c:pt>
                <c:pt idx="2">
                  <c:v>15</c:v>
                </c:pt>
                <c:pt idx="3">
                  <c:v>8</c:v>
                </c:pt>
                <c:pt idx="4">
                  <c:v>13</c:v>
                </c:pt>
                <c:pt idx="5">
                  <c:v>11</c:v>
                </c:pt>
                <c:pt idx="6">
                  <c:v>8</c:v>
                </c:pt>
                <c:pt idx="7">
                  <c:v>16</c:v>
                </c:pt>
                <c:pt idx="8">
                  <c:v>11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2A-4685-949E-15EF872E640C}"/>
            </c:ext>
          </c:extLst>
        </c:ser>
        <c:ser>
          <c:idx val="4"/>
          <c:order val="3"/>
          <c:tx>
            <c:strRef>
              <c:f>Avaliacao!$F$1</c:f>
              <c:strCache>
                <c:ptCount val="1"/>
                <c:pt idx="0">
                  <c:v>Situacao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Avaliacao!$A$2:$A$11</c:f>
              <c:strCache>
                <c:ptCount val="10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Daniel</c:v>
                </c:pt>
                <c:pt idx="4">
                  <c:v>Elsa</c:v>
                </c:pt>
                <c:pt idx="5">
                  <c:v>Fernando</c:v>
                </c:pt>
                <c:pt idx="6">
                  <c:v>Gina</c:v>
                </c:pt>
                <c:pt idx="7">
                  <c:v>Hugo</c:v>
                </c:pt>
                <c:pt idx="8">
                  <c:v>Inês</c:v>
                </c:pt>
                <c:pt idx="9">
                  <c:v>João</c:v>
                </c:pt>
              </c:strCache>
            </c:strRef>
          </c:cat>
          <c:val>
            <c:numRef>
              <c:f>Avaliacao!$F$2:$F$11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2A-4685-949E-15EF872E64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512976"/>
        <c:axId val="708852288"/>
      </c:barChart>
      <c:catAx>
        <c:axId val="955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60000"/>
              <a:lumOff val="40000"/>
            </a:schemeClr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>
            <a:outerShdw blurRad="50800" dist="50800" dir="5400000" algn="ctr" rotWithShape="0">
              <a:schemeClr val="tx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8852288"/>
        <c:crosses val="autoZero"/>
        <c:auto val="1"/>
        <c:lblAlgn val="ctr"/>
        <c:lblOffset val="100"/>
        <c:noMultiLvlLbl val="0"/>
      </c:catAx>
      <c:valAx>
        <c:axId val="708852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>
              <a:outerShdw blurRad="50800" dist="50800" dir="5400000" algn="ctr" rotWithShape="0">
                <a:schemeClr val="accent2">
                  <a:lumMod val="75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955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5093350831146105"/>
          <c:y val="0.92776836697069598"/>
          <c:w val="0.31479965004374455"/>
          <c:h val="7.2231633029303979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25</xdr:row>
      <xdr:rowOff>4762</xdr:rowOff>
    </xdr:from>
    <xdr:to>
      <xdr:col>9</xdr:col>
      <xdr:colOff>552450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70C30-B9C1-443E-8F2B-45CEF0898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</xdr:row>
      <xdr:rowOff>95250</xdr:rowOff>
    </xdr:from>
    <xdr:to>
      <xdr:col>9</xdr:col>
      <xdr:colOff>533400</xdr:colOff>
      <xdr:row>5</xdr:row>
      <xdr:rowOff>47625</xdr:rowOff>
    </xdr:to>
    <xdr:sp macro="[0]!Verde" textlink="">
      <xdr:nvSpPr>
        <xdr:cNvPr id="2" name="Oval 1">
          <a:extLst>
            <a:ext uri="{FF2B5EF4-FFF2-40B4-BE49-F238E27FC236}">
              <a16:creationId xmlns:a16="http://schemas.microsoft.com/office/drawing/2014/main" id="{1AA32785-A5A2-47D0-94F9-EDD1865C6CFD}"/>
            </a:ext>
          </a:extLst>
        </xdr:cNvPr>
        <xdr:cNvSpPr/>
      </xdr:nvSpPr>
      <xdr:spPr>
        <a:xfrm>
          <a:off x="6096000" y="514350"/>
          <a:ext cx="857250" cy="581025"/>
        </a:xfrm>
        <a:prstGeom prst="ellipse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11</xdr:col>
      <xdr:colOff>257175</xdr:colOff>
      <xdr:row>1</xdr:row>
      <xdr:rowOff>200025</xdr:rowOff>
    </xdr:from>
    <xdr:to>
      <xdr:col>12</xdr:col>
      <xdr:colOff>457200</xdr:colOff>
      <xdr:row>5</xdr:row>
      <xdr:rowOff>9525</xdr:rowOff>
    </xdr:to>
    <xdr:sp macro="[0]!Vermelhinho" textlink="">
      <xdr:nvSpPr>
        <xdr:cNvPr id="3" name="Oval 2">
          <a:extLst>
            <a:ext uri="{FF2B5EF4-FFF2-40B4-BE49-F238E27FC236}">
              <a16:creationId xmlns:a16="http://schemas.microsoft.com/office/drawing/2014/main" id="{DCD450CC-6EAB-4A1A-AF63-E1DCE396C99E}"/>
            </a:ext>
          </a:extLst>
        </xdr:cNvPr>
        <xdr:cNvSpPr/>
      </xdr:nvSpPr>
      <xdr:spPr>
        <a:xfrm>
          <a:off x="7896225" y="409575"/>
          <a:ext cx="809625" cy="6477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14</xdr:col>
      <xdr:colOff>381000</xdr:colOff>
      <xdr:row>1</xdr:row>
      <xdr:rowOff>200025</xdr:rowOff>
    </xdr:from>
    <xdr:to>
      <xdr:col>16</xdr:col>
      <xdr:colOff>28575</xdr:colOff>
      <xdr:row>5</xdr:row>
      <xdr:rowOff>95250</xdr:rowOff>
    </xdr:to>
    <xdr:sp macro="[0]!Cinza" textlink="">
      <xdr:nvSpPr>
        <xdr:cNvPr id="4" name="Oval 3">
          <a:extLst>
            <a:ext uri="{FF2B5EF4-FFF2-40B4-BE49-F238E27FC236}">
              <a16:creationId xmlns:a16="http://schemas.microsoft.com/office/drawing/2014/main" id="{3B4D11A4-4E9A-4510-B018-2ECF3C2EAD35}"/>
            </a:ext>
          </a:extLst>
        </xdr:cNvPr>
        <xdr:cNvSpPr/>
      </xdr:nvSpPr>
      <xdr:spPr>
        <a:xfrm>
          <a:off x="9848850" y="409575"/>
          <a:ext cx="866775" cy="733425"/>
        </a:xfrm>
        <a:prstGeom prst="ellipse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14" refreshedDate="46134.389906365737" createdVersion="6" refreshedVersion="6" minRefreshableVersion="3" recordCount="10" xr:uid="{FEB1B148-A137-48B9-83B8-16B65B49ED34}">
  <cacheSource type="worksheet">
    <worksheetSource ref="A1:H11" sheet="Estatistica"/>
  </cacheSource>
  <cacheFields count="8">
    <cacheField name="Nome" numFmtId="0">
      <sharedItems/>
    </cacheField>
    <cacheField name="Teste 1" numFmtId="0">
      <sharedItems containsSemiMixedTypes="0" containsString="0" containsNumber="1" containsInteger="1" minValue="7" maxValue="16"/>
    </cacheField>
    <cacheField name="Teste 2" numFmtId="0">
      <sharedItems containsSemiMixedTypes="0" containsString="0" containsNumber="1" containsInteger="1" minValue="8" maxValue="16"/>
    </cacheField>
    <cacheField name="Trabalho" numFmtId="0">
      <sharedItems containsSemiMixedTypes="0" containsString="0" containsNumber="1" containsInteger="1" minValue="7" maxValue="17"/>
    </cacheField>
    <cacheField name="Maximo" numFmtId="0">
      <sharedItems containsSemiMixedTypes="0" containsString="0" containsNumber="1" containsInteger="1" minValue="9" maxValue="17"/>
    </cacheField>
    <cacheField name="Minimo" numFmtId="0">
      <sharedItems containsSemiMixedTypes="0" containsString="0" containsNumber="1" containsInteger="1" minValue="7" maxValue="15"/>
    </cacheField>
    <cacheField name="Soma" numFmtId="0">
      <sharedItems containsSemiMixedTypes="0" containsString="0" containsNumber="1" containsInteger="1" minValue="24" maxValue="48"/>
    </cacheField>
    <cacheField name="Media" numFmtId="0">
      <sharedItems containsSemiMixedTypes="0" containsString="0" containsNumber="1" containsInteger="1" minValue="8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na"/>
    <n v="12"/>
    <n v="14"/>
    <n v="13"/>
    <n v="14"/>
    <n v="12"/>
    <n v="39"/>
    <n v="13"/>
  </r>
  <r>
    <s v="Bruno"/>
    <n v="9"/>
    <n v="10"/>
    <n v="8"/>
    <n v="10"/>
    <n v="8"/>
    <n v="27"/>
    <n v="9"/>
  </r>
  <r>
    <s v="Carla"/>
    <n v="15"/>
    <n v="16"/>
    <n v="14"/>
    <n v="16"/>
    <n v="14"/>
    <n v="45"/>
    <n v="15"/>
  </r>
  <r>
    <s v="Daniel"/>
    <n v="7"/>
    <n v="8"/>
    <n v="9"/>
    <n v="9"/>
    <n v="7"/>
    <n v="24"/>
    <n v="8"/>
  </r>
  <r>
    <s v="Elsa"/>
    <n v="13"/>
    <n v="12"/>
    <n v="14"/>
    <n v="14"/>
    <n v="12"/>
    <n v="39"/>
    <n v="13"/>
  </r>
  <r>
    <s v="Fernando"/>
    <n v="10"/>
    <n v="11"/>
    <n v="12"/>
    <n v="12"/>
    <n v="10"/>
    <n v="33"/>
    <n v="11"/>
  </r>
  <r>
    <s v="Gina"/>
    <n v="8"/>
    <n v="9"/>
    <n v="7"/>
    <n v="9"/>
    <n v="7"/>
    <n v="24"/>
    <n v="8"/>
  </r>
  <r>
    <s v="Hugo"/>
    <n v="16"/>
    <n v="15"/>
    <n v="17"/>
    <n v="17"/>
    <n v="15"/>
    <n v="48"/>
    <n v="16"/>
  </r>
  <r>
    <s v="Inês"/>
    <n v="11"/>
    <n v="10"/>
    <n v="12"/>
    <n v="12"/>
    <n v="10"/>
    <n v="33"/>
    <n v="11"/>
  </r>
  <r>
    <s v="João"/>
    <n v="14"/>
    <n v="13"/>
    <n v="15"/>
    <n v="15"/>
    <n v="13"/>
    <n v="42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3BA6A-0735-439D-A9E5-1884D967587C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8"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este 1" fld="1" baseField="0" baseItem="0"/>
    <dataField name="Sum of Trabalho" fld="3" baseField="0" baseItem="0"/>
    <dataField name="Sum of Teste 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3E9C-51D1-4ABF-AFCB-6969FC8DE6AD}">
  <dimension ref="A1:N15"/>
  <sheetViews>
    <sheetView workbookViewId="0">
      <selection activeCell="B2" sqref="B2:N12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13.5703125" bestFit="1" customWidth="1"/>
    <col min="4" max="9" width="12.5703125" bestFit="1" customWidth="1"/>
    <col min="10" max="10" width="14" bestFit="1" customWidth="1"/>
    <col min="11" max="11" width="12.5703125" bestFit="1" customWidth="1"/>
    <col min="12" max="12" width="15" bestFit="1" customWidth="1"/>
    <col min="13" max="13" width="14.5703125" bestFit="1" customWidth="1"/>
    <col min="14" max="14" width="14.28515625" bestFit="1" customWidth="1"/>
  </cols>
  <sheetData>
    <row r="1" spans="1:14" ht="22.5" thickTop="1" thickBot="1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</row>
    <row r="2" spans="1:14" ht="16.5" thickTop="1" thickBot="1" x14ac:dyDescent="0.3">
      <c r="A2" s="1" t="s">
        <v>1</v>
      </c>
      <c r="B2" s="12">
        <v>500</v>
      </c>
      <c r="C2" s="12">
        <v>520</v>
      </c>
      <c r="D2" s="12">
        <v>510</v>
      </c>
      <c r="E2" s="12">
        <v>530</v>
      </c>
      <c r="F2" s="12">
        <v>540</v>
      </c>
      <c r="G2" s="12">
        <v>550</v>
      </c>
      <c r="H2" s="12">
        <v>560</v>
      </c>
      <c r="I2" s="12">
        <v>570</v>
      </c>
      <c r="J2" s="12">
        <v>580</v>
      </c>
      <c r="K2" s="12">
        <v>590</v>
      </c>
      <c r="L2" s="12">
        <v>600</v>
      </c>
      <c r="M2" s="12">
        <v>610</v>
      </c>
      <c r="N2" s="7">
        <f>SUM(B2:M2)</f>
        <v>6660</v>
      </c>
    </row>
    <row r="3" spans="1:14" ht="16.5" thickTop="1" thickBot="1" x14ac:dyDescent="0.3">
      <c r="A3" s="1" t="s">
        <v>2</v>
      </c>
      <c r="B3" s="12">
        <v>200</v>
      </c>
      <c r="C3" s="12">
        <v>210</v>
      </c>
      <c r="D3" s="12">
        <v>205</v>
      </c>
      <c r="E3" s="12">
        <v>215</v>
      </c>
      <c r="F3" s="12">
        <v>220</v>
      </c>
      <c r="G3" s="12">
        <v>225</v>
      </c>
      <c r="H3" s="12">
        <v>230</v>
      </c>
      <c r="I3" s="12">
        <v>235</v>
      </c>
      <c r="J3" s="12">
        <v>240</v>
      </c>
      <c r="K3" s="12">
        <v>245</v>
      </c>
      <c r="L3" s="12">
        <v>250</v>
      </c>
      <c r="M3" s="12">
        <v>255</v>
      </c>
      <c r="N3" s="7">
        <f t="shared" ref="N3:N11" si="0">SUM(B3:M3)</f>
        <v>2730</v>
      </c>
    </row>
    <row r="4" spans="1:14" ht="16.5" thickTop="1" thickBot="1" x14ac:dyDescent="0.3">
      <c r="A4" s="1" t="s">
        <v>3</v>
      </c>
      <c r="B4" s="12">
        <v>300</v>
      </c>
      <c r="C4" s="12">
        <v>320</v>
      </c>
      <c r="D4" s="12">
        <v>310</v>
      </c>
      <c r="E4" s="12">
        <v>330</v>
      </c>
      <c r="F4" s="12">
        <v>340</v>
      </c>
      <c r="G4" s="12">
        <v>350</v>
      </c>
      <c r="H4" s="12">
        <v>360</v>
      </c>
      <c r="I4" s="12">
        <v>370</v>
      </c>
      <c r="J4" s="12">
        <v>380</v>
      </c>
      <c r="K4" s="12">
        <v>390</v>
      </c>
      <c r="L4" s="12">
        <v>400</v>
      </c>
      <c r="M4" s="12">
        <v>410</v>
      </c>
      <c r="N4" s="7">
        <f t="shared" si="0"/>
        <v>4260</v>
      </c>
    </row>
    <row r="5" spans="1:14" ht="16.5" thickTop="1" thickBot="1" x14ac:dyDescent="0.3">
      <c r="A5" s="1" t="s">
        <v>4</v>
      </c>
      <c r="B5" s="12">
        <v>150</v>
      </c>
      <c r="C5" s="12">
        <v>155</v>
      </c>
      <c r="D5" s="12">
        <v>160</v>
      </c>
      <c r="E5" s="12">
        <v>165</v>
      </c>
      <c r="F5" s="12">
        <v>170</v>
      </c>
      <c r="G5" s="12">
        <v>175</v>
      </c>
      <c r="H5" s="12">
        <v>180</v>
      </c>
      <c r="I5" s="12">
        <v>185</v>
      </c>
      <c r="J5" s="12">
        <v>190</v>
      </c>
      <c r="K5" s="12">
        <v>195</v>
      </c>
      <c r="L5" s="12">
        <v>200</v>
      </c>
      <c r="M5" s="12">
        <v>205</v>
      </c>
      <c r="N5" s="7">
        <f t="shared" si="0"/>
        <v>2130</v>
      </c>
    </row>
    <row r="6" spans="1:14" ht="16.5" thickTop="1" thickBot="1" x14ac:dyDescent="0.3">
      <c r="A6" s="1" t="s">
        <v>5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7">
        <f t="shared" si="0"/>
        <v>1200</v>
      </c>
    </row>
    <row r="7" spans="1:14" ht="16.5" thickTop="1" thickBot="1" x14ac:dyDescent="0.3">
      <c r="A7" s="1" t="s">
        <v>19</v>
      </c>
      <c r="B7" s="13">
        <v>400</v>
      </c>
      <c r="C7" s="13">
        <v>400</v>
      </c>
      <c r="D7" s="13">
        <v>400</v>
      </c>
      <c r="E7" s="13">
        <v>400</v>
      </c>
      <c r="F7" s="13">
        <v>400</v>
      </c>
      <c r="G7" s="13">
        <v>400</v>
      </c>
      <c r="H7" s="13">
        <v>400</v>
      </c>
      <c r="I7" s="13">
        <v>400</v>
      </c>
      <c r="J7" s="13">
        <v>400</v>
      </c>
      <c r="K7" s="13">
        <v>400</v>
      </c>
      <c r="L7" s="13">
        <v>400</v>
      </c>
      <c r="M7" s="13">
        <v>400</v>
      </c>
      <c r="N7" s="7">
        <f t="shared" si="0"/>
        <v>4800</v>
      </c>
    </row>
    <row r="8" spans="1:14" ht="16.5" thickTop="1" thickBot="1" x14ac:dyDescent="0.3">
      <c r="A8" s="1" t="s">
        <v>20</v>
      </c>
      <c r="B8" s="13">
        <v>250</v>
      </c>
      <c r="C8" s="13">
        <v>260</v>
      </c>
      <c r="D8" s="13">
        <v>255</v>
      </c>
      <c r="E8" s="13">
        <v>265</v>
      </c>
      <c r="F8" s="13">
        <v>270</v>
      </c>
      <c r="G8" s="13">
        <v>275</v>
      </c>
      <c r="H8" s="13">
        <v>280</v>
      </c>
      <c r="I8" s="13">
        <v>285</v>
      </c>
      <c r="J8" s="13">
        <v>290</v>
      </c>
      <c r="K8" s="13">
        <v>295</v>
      </c>
      <c r="L8" s="13">
        <v>300</v>
      </c>
      <c r="M8" s="13">
        <v>305</v>
      </c>
      <c r="N8" s="7">
        <f t="shared" si="0"/>
        <v>3330</v>
      </c>
    </row>
    <row r="9" spans="1:14" ht="16.5" thickTop="1" thickBot="1" x14ac:dyDescent="0.3">
      <c r="A9" s="1" t="s">
        <v>21</v>
      </c>
      <c r="B9" s="13">
        <v>180</v>
      </c>
      <c r="C9" s="13">
        <v>190</v>
      </c>
      <c r="D9" s="13">
        <v>185</v>
      </c>
      <c r="E9" s="13">
        <v>196</v>
      </c>
      <c r="F9" s="13">
        <v>200</v>
      </c>
      <c r="G9" s="13">
        <v>205</v>
      </c>
      <c r="H9" s="13">
        <v>210</v>
      </c>
      <c r="I9" s="13">
        <v>215</v>
      </c>
      <c r="J9" s="13">
        <v>220</v>
      </c>
      <c r="K9" s="13">
        <v>225</v>
      </c>
      <c r="L9" s="13">
        <v>230</v>
      </c>
      <c r="M9" s="13">
        <v>235</v>
      </c>
      <c r="N9" s="7">
        <f t="shared" si="0"/>
        <v>2491</v>
      </c>
    </row>
    <row r="10" spans="1:14" ht="16.5" thickTop="1" thickBot="1" x14ac:dyDescent="0.3">
      <c r="A10" s="1" t="s">
        <v>22</v>
      </c>
      <c r="B10" s="13">
        <v>220</v>
      </c>
      <c r="C10" s="13">
        <v>230</v>
      </c>
      <c r="D10" s="13">
        <v>225</v>
      </c>
      <c r="E10" s="13">
        <v>235</v>
      </c>
      <c r="F10" s="13">
        <v>240</v>
      </c>
      <c r="G10" s="13">
        <v>245</v>
      </c>
      <c r="H10" s="13">
        <v>250</v>
      </c>
      <c r="I10" s="13">
        <v>255</v>
      </c>
      <c r="J10" s="13">
        <v>260</v>
      </c>
      <c r="K10" s="13">
        <v>265</v>
      </c>
      <c r="L10" s="13">
        <v>270</v>
      </c>
      <c r="M10" s="13">
        <v>275</v>
      </c>
      <c r="N10" s="7">
        <f t="shared" si="0"/>
        <v>2970</v>
      </c>
    </row>
    <row r="11" spans="1:14" ht="16.5" thickTop="1" thickBot="1" x14ac:dyDescent="0.3">
      <c r="A11" s="1" t="s">
        <v>23</v>
      </c>
      <c r="B11" s="13">
        <v>100</v>
      </c>
      <c r="C11" s="13">
        <v>110</v>
      </c>
      <c r="D11" s="13">
        <v>105</v>
      </c>
      <c r="E11" s="13">
        <v>115</v>
      </c>
      <c r="F11" s="13">
        <v>120</v>
      </c>
      <c r="G11" s="13">
        <v>125</v>
      </c>
      <c r="H11" s="13">
        <v>130</v>
      </c>
      <c r="I11" s="13">
        <v>135</v>
      </c>
      <c r="J11" s="13">
        <v>140</v>
      </c>
      <c r="K11" s="13">
        <v>145</v>
      </c>
      <c r="L11" s="13">
        <v>150</v>
      </c>
      <c r="M11" s="13">
        <v>155</v>
      </c>
      <c r="N11" s="7">
        <f t="shared" si="0"/>
        <v>1530</v>
      </c>
    </row>
    <row r="12" spans="1:14" ht="22.5" thickTop="1" thickBot="1" x14ac:dyDescent="0.4">
      <c r="A12" s="11" t="s">
        <v>18</v>
      </c>
      <c r="B12" s="14">
        <f>SUM(B2:B11)</f>
        <v>2400</v>
      </c>
      <c r="C12" s="14">
        <f t="shared" ref="C12:N12" si="1">SUM(C2:C11)</f>
        <v>2495</v>
      </c>
      <c r="D12" s="14">
        <f t="shared" si="1"/>
        <v>2455</v>
      </c>
      <c r="E12" s="14">
        <f t="shared" si="1"/>
        <v>2551</v>
      </c>
      <c r="F12" s="14">
        <f t="shared" si="1"/>
        <v>2600</v>
      </c>
      <c r="G12" s="14">
        <f t="shared" si="1"/>
        <v>2650</v>
      </c>
      <c r="H12" s="14">
        <f t="shared" si="1"/>
        <v>2700</v>
      </c>
      <c r="I12" s="14">
        <f t="shared" si="1"/>
        <v>2750</v>
      </c>
      <c r="J12" s="14">
        <f t="shared" si="1"/>
        <v>2800</v>
      </c>
      <c r="K12" s="14">
        <f t="shared" si="1"/>
        <v>2850</v>
      </c>
      <c r="L12" s="14">
        <f t="shared" si="1"/>
        <v>2900</v>
      </c>
      <c r="M12" s="14">
        <f t="shared" si="1"/>
        <v>2950</v>
      </c>
      <c r="N12" s="14">
        <f t="shared" si="1"/>
        <v>32101</v>
      </c>
    </row>
    <row r="13" spans="1:14" ht="15.75" thickTop="1" x14ac:dyDescent="0.25"/>
    <row r="15" spans="1:14" x14ac:dyDescent="0.25">
      <c r="J1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0E6A-B86A-4623-8502-C761034C67BC}">
  <dimension ref="A1:F12"/>
  <sheetViews>
    <sheetView workbookViewId="0">
      <selection activeCell="F3" sqref="F3"/>
    </sheetView>
  </sheetViews>
  <sheetFormatPr defaultRowHeight="15" x14ac:dyDescent="0.25"/>
  <sheetData>
    <row r="1" spans="1:6" ht="16.5" thickTop="1" thickBot="1" x14ac:dyDescent="0.3">
      <c r="A1" s="1" t="s">
        <v>24</v>
      </c>
      <c r="B1" s="1" t="s">
        <v>35</v>
      </c>
      <c r="C1" s="1" t="s">
        <v>36</v>
      </c>
      <c r="D1" s="1" t="s">
        <v>37</v>
      </c>
      <c r="E1" s="4" t="s">
        <v>40</v>
      </c>
      <c r="F1" s="4" t="s">
        <v>43</v>
      </c>
    </row>
    <row r="2" spans="1:6" ht="16.5" thickTop="1" thickBot="1" x14ac:dyDescent="0.3">
      <c r="A2" s="6" t="s">
        <v>25</v>
      </c>
      <c r="B2" s="6">
        <v>12</v>
      </c>
      <c r="C2" s="6">
        <v>14</v>
      </c>
      <c r="D2" s="6">
        <v>13</v>
      </c>
      <c r="E2" s="6">
        <f>SUM(B2:D2)</f>
        <v>39</v>
      </c>
      <c r="F2" s="6">
        <f>AVERAGE(B2:D2)</f>
        <v>13</v>
      </c>
    </row>
    <row r="3" spans="1:6" ht="16.5" thickTop="1" thickBot="1" x14ac:dyDescent="0.3">
      <c r="A3" s="1" t="s">
        <v>26</v>
      </c>
      <c r="B3" s="1">
        <v>9</v>
      </c>
      <c r="C3" s="1">
        <v>10</v>
      </c>
      <c r="D3" s="1">
        <v>8</v>
      </c>
      <c r="E3" s="1">
        <f t="shared" ref="E3:E11" si="0">SUM(B3:D3)</f>
        <v>27</v>
      </c>
      <c r="F3" s="1">
        <f t="shared" ref="F3:F11" si="1">AVERAGE(B3:D3)</f>
        <v>9</v>
      </c>
    </row>
    <row r="4" spans="1:6" ht="16.5" thickTop="1" thickBot="1" x14ac:dyDescent="0.3">
      <c r="A4" s="1" t="s">
        <v>27</v>
      </c>
      <c r="B4" s="1">
        <v>15</v>
      </c>
      <c r="C4" s="1">
        <v>16</v>
      </c>
      <c r="D4" s="1">
        <v>14</v>
      </c>
      <c r="E4" s="1">
        <f t="shared" si="0"/>
        <v>45</v>
      </c>
      <c r="F4" s="1">
        <f t="shared" si="1"/>
        <v>15</v>
      </c>
    </row>
    <row r="5" spans="1:6" ht="16.5" thickTop="1" thickBot="1" x14ac:dyDescent="0.3">
      <c r="A5" s="1" t="s">
        <v>28</v>
      </c>
      <c r="B5" s="1">
        <v>7</v>
      </c>
      <c r="C5" s="1">
        <v>8</v>
      </c>
      <c r="D5" s="1">
        <v>9</v>
      </c>
      <c r="E5" s="1">
        <f t="shared" si="0"/>
        <v>24</v>
      </c>
      <c r="F5" s="1">
        <f t="shared" si="1"/>
        <v>8</v>
      </c>
    </row>
    <row r="6" spans="1:6" ht="16.5" thickTop="1" thickBot="1" x14ac:dyDescent="0.3">
      <c r="A6" s="1" t="s">
        <v>29</v>
      </c>
      <c r="B6" s="1">
        <v>13</v>
      </c>
      <c r="C6" s="1">
        <v>12</v>
      </c>
      <c r="D6" s="1">
        <v>14</v>
      </c>
      <c r="E6" s="1">
        <f t="shared" si="0"/>
        <v>39</v>
      </c>
      <c r="F6" s="1">
        <f t="shared" si="1"/>
        <v>13</v>
      </c>
    </row>
    <row r="7" spans="1:6" ht="16.5" thickTop="1" thickBot="1" x14ac:dyDescent="0.3">
      <c r="A7" s="1" t="s">
        <v>30</v>
      </c>
      <c r="B7" s="1">
        <v>10</v>
      </c>
      <c r="C7" s="1">
        <v>11</v>
      </c>
      <c r="D7" s="1">
        <v>12</v>
      </c>
      <c r="E7" s="1">
        <f t="shared" si="0"/>
        <v>33</v>
      </c>
      <c r="F7" s="1">
        <f t="shared" si="1"/>
        <v>11</v>
      </c>
    </row>
    <row r="8" spans="1:6" ht="16.5" thickTop="1" thickBot="1" x14ac:dyDescent="0.3">
      <c r="A8" s="1" t="s">
        <v>31</v>
      </c>
      <c r="B8" s="1">
        <v>8</v>
      </c>
      <c r="C8" s="1">
        <v>9</v>
      </c>
      <c r="D8" s="1">
        <v>7</v>
      </c>
      <c r="E8" s="1">
        <f t="shared" si="0"/>
        <v>24</v>
      </c>
      <c r="F8" s="1">
        <f t="shared" si="1"/>
        <v>8</v>
      </c>
    </row>
    <row r="9" spans="1:6" ht="16.5" thickTop="1" thickBot="1" x14ac:dyDescent="0.3">
      <c r="A9" s="1" t="s">
        <v>32</v>
      </c>
      <c r="B9" s="1">
        <v>16</v>
      </c>
      <c r="C9" s="1">
        <v>15</v>
      </c>
      <c r="D9" s="1">
        <v>17</v>
      </c>
      <c r="E9" s="1">
        <f t="shared" si="0"/>
        <v>48</v>
      </c>
      <c r="F9" s="1">
        <f t="shared" si="1"/>
        <v>16</v>
      </c>
    </row>
    <row r="10" spans="1:6" ht="16.5" thickTop="1" thickBot="1" x14ac:dyDescent="0.3">
      <c r="A10" s="1" t="s">
        <v>34</v>
      </c>
      <c r="B10" s="1">
        <v>11</v>
      </c>
      <c r="C10" s="1">
        <v>10</v>
      </c>
      <c r="D10" s="1">
        <v>12</v>
      </c>
      <c r="E10" s="1">
        <f t="shared" si="0"/>
        <v>33</v>
      </c>
      <c r="F10" s="1">
        <f t="shared" si="1"/>
        <v>11</v>
      </c>
    </row>
    <row r="11" spans="1:6" ht="16.5" thickTop="1" thickBot="1" x14ac:dyDescent="0.3">
      <c r="A11" s="1" t="s">
        <v>33</v>
      </c>
      <c r="B11" s="1">
        <v>14</v>
      </c>
      <c r="C11" s="1">
        <v>13</v>
      </c>
      <c r="D11" s="1">
        <v>15</v>
      </c>
      <c r="E11" s="1">
        <f t="shared" si="0"/>
        <v>42</v>
      </c>
      <c r="F11" s="1">
        <f t="shared" si="1"/>
        <v>14</v>
      </c>
    </row>
    <row r="12" spans="1:6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534A-CFC7-4B8C-B744-B017B01A386A}">
  <dimension ref="A3:C4"/>
  <sheetViews>
    <sheetView workbookViewId="0">
      <selection activeCell="C3" sqref="C3"/>
    </sheetView>
  </sheetViews>
  <sheetFormatPr defaultRowHeight="15" x14ac:dyDescent="0.25"/>
  <cols>
    <col min="1" max="1" width="14" bestFit="1" customWidth="1"/>
    <col min="2" max="2" width="15.42578125" bestFit="1" customWidth="1"/>
    <col min="3" max="3" width="14" bestFit="1" customWidth="1"/>
  </cols>
  <sheetData>
    <row r="3" spans="1:3" x14ac:dyDescent="0.25">
      <c r="A3" t="s">
        <v>44</v>
      </c>
      <c r="B3" t="s">
        <v>46</v>
      </c>
      <c r="C3" t="s">
        <v>45</v>
      </c>
    </row>
    <row r="4" spans="1:3" x14ac:dyDescent="0.25">
      <c r="A4" s="5">
        <v>115</v>
      </c>
      <c r="B4" s="5">
        <v>121</v>
      </c>
      <c r="C4" s="5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6C70-C2D5-4902-B932-81827D1C578E}">
  <dimension ref="A1:H12"/>
  <sheetViews>
    <sheetView workbookViewId="0">
      <selection sqref="A1:H11"/>
    </sheetView>
  </sheetViews>
  <sheetFormatPr defaultRowHeight="15" x14ac:dyDescent="0.25"/>
  <sheetData>
    <row r="1" spans="1:8" ht="16.5" thickTop="1" thickBot="1" x14ac:dyDescent="0.3">
      <c r="A1" s="1" t="s">
        <v>24</v>
      </c>
      <c r="B1" s="1" t="s">
        <v>35</v>
      </c>
      <c r="C1" s="1" t="s">
        <v>36</v>
      </c>
      <c r="D1" s="1" t="s">
        <v>37</v>
      </c>
      <c r="E1" s="1" t="s">
        <v>41</v>
      </c>
      <c r="F1" s="1" t="s">
        <v>42</v>
      </c>
      <c r="G1" s="4" t="s">
        <v>40</v>
      </c>
      <c r="H1" s="4" t="s">
        <v>43</v>
      </c>
    </row>
    <row r="2" spans="1:8" ht="16.5" thickTop="1" thickBot="1" x14ac:dyDescent="0.3">
      <c r="A2" s="1" t="s">
        <v>25</v>
      </c>
      <c r="B2" s="1">
        <v>12</v>
      </c>
      <c r="C2" s="1">
        <v>14</v>
      </c>
      <c r="D2" s="1">
        <v>13</v>
      </c>
      <c r="E2" s="1">
        <f>MAX(B2:D2)</f>
        <v>14</v>
      </c>
      <c r="F2" s="1">
        <f>MIN(B2:D2)</f>
        <v>12</v>
      </c>
      <c r="G2" s="1">
        <f t="shared" ref="G2:G11" si="0">SUM(B2:D2)</f>
        <v>39</v>
      </c>
      <c r="H2" s="1">
        <f>AVERAGE(B2:D2)</f>
        <v>13</v>
      </c>
    </row>
    <row r="3" spans="1:8" ht="16.5" thickTop="1" thickBot="1" x14ac:dyDescent="0.3">
      <c r="A3" s="1" t="s">
        <v>26</v>
      </c>
      <c r="B3" s="1">
        <v>9</v>
      </c>
      <c r="C3" s="1">
        <v>10</v>
      </c>
      <c r="D3" s="1">
        <v>8</v>
      </c>
      <c r="E3" s="1">
        <f t="shared" ref="E3:E11" si="1">MAX(B3:D3)</f>
        <v>10</v>
      </c>
      <c r="F3" s="1">
        <f t="shared" ref="F3:F11" si="2">MIN(B3:D3)</f>
        <v>8</v>
      </c>
      <c r="G3" s="1">
        <f t="shared" si="0"/>
        <v>27</v>
      </c>
      <c r="H3" s="1">
        <f t="shared" ref="H3:H11" si="3">AVERAGE(B3:D3)</f>
        <v>9</v>
      </c>
    </row>
    <row r="4" spans="1:8" ht="16.5" thickTop="1" thickBot="1" x14ac:dyDescent="0.3">
      <c r="A4" s="1" t="s">
        <v>27</v>
      </c>
      <c r="B4" s="1">
        <v>15</v>
      </c>
      <c r="C4" s="1">
        <v>16</v>
      </c>
      <c r="D4" s="1">
        <v>14</v>
      </c>
      <c r="E4" s="1">
        <f t="shared" si="1"/>
        <v>16</v>
      </c>
      <c r="F4" s="1">
        <f t="shared" si="2"/>
        <v>14</v>
      </c>
      <c r="G4" s="1">
        <f t="shared" si="0"/>
        <v>45</v>
      </c>
      <c r="H4" s="1">
        <f t="shared" si="3"/>
        <v>15</v>
      </c>
    </row>
    <row r="5" spans="1:8" ht="16.5" thickTop="1" thickBot="1" x14ac:dyDescent="0.3">
      <c r="A5" s="1" t="s">
        <v>28</v>
      </c>
      <c r="B5" s="1">
        <v>7</v>
      </c>
      <c r="C5" s="1">
        <v>8</v>
      </c>
      <c r="D5" s="1">
        <v>9</v>
      </c>
      <c r="E5" s="1">
        <f t="shared" si="1"/>
        <v>9</v>
      </c>
      <c r="F5" s="1">
        <f t="shared" si="2"/>
        <v>7</v>
      </c>
      <c r="G5" s="1">
        <f t="shared" si="0"/>
        <v>24</v>
      </c>
      <c r="H5" s="1">
        <f t="shared" si="3"/>
        <v>8</v>
      </c>
    </row>
    <row r="6" spans="1:8" ht="16.5" thickTop="1" thickBot="1" x14ac:dyDescent="0.3">
      <c r="A6" s="1" t="s">
        <v>29</v>
      </c>
      <c r="B6" s="1">
        <v>13</v>
      </c>
      <c r="C6" s="1">
        <v>12</v>
      </c>
      <c r="D6" s="1">
        <v>14</v>
      </c>
      <c r="E6" s="1">
        <f t="shared" si="1"/>
        <v>14</v>
      </c>
      <c r="F6" s="1">
        <f t="shared" si="2"/>
        <v>12</v>
      </c>
      <c r="G6" s="1">
        <f t="shared" si="0"/>
        <v>39</v>
      </c>
      <c r="H6" s="1">
        <f t="shared" si="3"/>
        <v>13</v>
      </c>
    </row>
    <row r="7" spans="1:8" ht="16.5" thickTop="1" thickBot="1" x14ac:dyDescent="0.3">
      <c r="A7" s="1" t="s">
        <v>30</v>
      </c>
      <c r="B7" s="1">
        <v>10</v>
      </c>
      <c r="C7" s="1">
        <v>11</v>
      </c>
      <c r="D7" s="1">
        <v>12</v>
      </c>
      <c r="E7" s="1">
        <f t="shared" si="1"/>
        <v>12</v>
      </c>
      <c r="F7" s="1">
        <f t="shared" si="2"/>
        <v>10</v>
      </c>
      <c r="G7" s="1">
        <f t="shared" si="0"/>
        <v>33</v>
      </c>
      <c r="H7" s="1">
        <f t="shared" si="3"/>
        <v>11</v>
      </c>
    </row>
    <row r="8" spans="1:8" ht="16.5" thickTop="1" thickBot="1" x14ac:dyDescent="0.3">
      <c r="A8" s="1" t="s">
        <v>31</v>
      </c>
      <c r="B8" s="1">
        <v>8</v>
      </c>
      <c r="C8" s="1">
        <v>9</v>
      </c>
      <c r="D8" s="1">
        <v>7</v>
      </c>
      <c r="E8" s="1">
        <f t="shared" si="1"/>
        <v>9</v>
      </c>
      <c r="F8" s="1">
        <f t="shared" si="2"/>
        <v>7</v>
      </c>
      <c r="G8" s="1">
        <f t="shared" si="0"/>
        <v>24</v>
      </c>
      <c r="H8" s="1">
        <f t="shared" si="3"/>
        <v>8</v>
      </c>
    </row>
    <row r="9" spans="1:8" ht="16.5" thickTop="1" thickBot="1" x14ac:dyDescent="0.3">
      <c r="A9" s="1" t="s">
        <v>32</v>
      </c>
      <c r="B9" s="1">
        <v>16</v>
      </c>
      <c r="C9" s="1">
        <v>15</v>
      </c>
      <c r="D9" s="1">
        <v>17</v>
      </c>
      <c r="E9" s="1">
        <f t="shared" si="1"/>
        <v>17</v>
      </c>
      <c r="F9" s="1">
        <f t="shared" si="2"/>
        <v>15</v>
      </c>
      <c r="G9" s="1">
        <f t="shared" si="0"/>
        <v>48</v>
      </c>
      <c r="H9" s="1">
        <f t="shared" si="3"/>
        <v>16</v>
      </c>
    </row>
    <row r="10" spans="1:8" ht="16.5" thickTop="1" thickBot="1" x14ac:dyDescent="0.3">
      <c r="A10" s="1" t="s">
        <v>34</v>
      </c>
      <c r="B10" s="1">
        <v>11</v>
      </c>
      <c r="C10" s="1">
        <v>10</v>
      </c>
      <c r="D10" s="1">
        <v>12</v>
      </c>
      <c r="E10" s="1">
        <f t="shared" si="1"/>
        <v>12</v>
      </c>
      <c r="F10" s="1">
        <f t="shared" si="2"/>
        <v>10</v>
      </c>
      <c r="G10" s="1">
        <f t="shared" si="0"/>
        <v>33</v>
      </c>
      <c r="H10" s="1">
        <f t="shared" si="3"/>
        <v>11</v>
      </c>
    </row>
    <row r="11" spans="1:8" ht="16.5" thickTop="1" thickBot="1" x14ac:dyDescent="0.3">
      <c r="A11" s="1" t="s">
        <v>33</v>
      </c>
      <c r="B11" s="1">
        <v>14</v>
      </c>
      <c r="C11" s="1">
        <v>13</v>
      </c>
      <c r="D11" s="1">
        <v>15</v>
      </c>
      <c r="E11" s="1">
        <f t="shared" si="1"/>
        <v>15</v>
      </c>
      <c r="F11" s="1">
        <f t="shared" si="2"/>
        <v>13</v>
      </c>
      <c r="G11" s="1">
        <f t="shared" si="0"/>
        <v>42</v>
      </c>
      <c r="H11" s="1">
        <f t="shared" si="3"/>
        <v>14</v>
      </c>
    </row>
    <row r="12" spans="1:8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5669-3B9B-41F9-AE5D-FFFA3362B2E9}">
  <dimension ref="A1:F12"/>
  <sheetViews>
    <sheetView tabSelected="1" workbookViewId="0">
      <selection activeCell="F4" sqref="F4"/>
    </sheetView>
  </sheetViews>
  <sheetFormatPr defaultRowHeight="15" x14ac:dyDescent="0.25"/>
  <cols>
    <col min="6" max="6" width="23.140625" bestFit="1" customWidth="1"/>
  </cols>
  <sheetData>
    <row r="1" spans="1:6" ht="16.5" thickTop="1" thickBot="1" x14ac:dyDescent="0.3">
      <c r="A1" s="1" t="s">
        <v>24</v>
      </c>
      <c r="B1" s="1" t="s">
        <v>35</v>
      </c>
      <c r="C1" s="1" t="s">
        <v>36</v>
      </c>
      <c r="D1" s="1" t="s">
        <v>37</v>
      </c>
      <c r="E1" s="4" t="s">
        <v>38</v>
      </c>
      <c r="F1" s="4" t="s">
        <v>39</v>
      </c>
    </row>
    <row r="2" spans="1:6" ht="16.5" thickTop="1" thickBot="1" x14ac:dyDescent="0.3">
      <c r="A2" s="1" t="s">
        <v>25</v>
      </c>
      <c r="B2" s="1">
        <v>12</v>
      </c>
      <c r="C2" s="1">
        <v>14</v>
      </c>
      <c r="D2" s="1">
        <v>13</v>
      </c>
      <c r="E2" s="1">
        <f>(B2+C2+D2)/3</f>
        <v>13</v>
      </c>
      <c r="F2" s="1" t="str">
        <f>IF(E2&gt;=14,"Aprovado com destincao",IF(E2&gt;=10,"Aprovado","Reprovado"))</f>
        <v>Aprovado</v>
      </c>
    </row>
    <row r="3" spans="1:6" ht="16.5" thickTop="1" thickBot="1" x14ac:dyDescent="0.3">
      <c r="A3" s="1" t="s">
        <v>26</v>
      </c>
      <c r="B3" s="1">
        <v>9</v>
      </c>
      <c r="C3" s="1">
        <v>10</v>
      </c>
      <c r="D3" s="1">
        <v>8</v>
      </c>
      <c r="E3" s="1">
        <f t="shared" ref="E3:E11" si="0">(B3+C3+D3)/3</f>
        <v>9</v>
      </c>
      <c r="F3" s="1" t="str">
        <f t="shared" ref="F3:F11" si="1">IF(E3&gt;=14,"Aprovado com destincao",IF(E3&gt;=10,"Aprovado","Reprovado"))</f>
        <v>Reprovado</v>
      </c>
    </row>
    <row r="4" spans="1:6" ht="16.5" thickTop="1" thickBot="1" x14ac:dyDescent="0.3">
      <c r="A4" s="1" t="s">
        <v>27</v>
      </c>
      <c r="B4" s="1">
        <v>15</v>
      </c>
      <c r="C4" s="1">
        <v>16</v>
      </c>
      <c r="D4" s="1">
        <v>14</v>
      </c>
      <c r="E4" s="1">
        <f t="shared" si="0"/>
        <v>15</v>
      </c>
      <c r="F4" s="1" t="str">
        <f>IF(E4&gt;=14,"Aprovado com distincao",IF(E4&gt;=10,"Aprovado","Reprovado"))</f>
        <v>Aprovado com distincao</v>
      </c>
    </row>
    <row r="5" spans="1:6" ht="16.5" thickTop="1" thickBot="1" x14ac:dyDescent="0.3">
      <c r="A5" s="1" t="s">
        <v>28</v>
      </c>
      <c r="B5" s="1">
        <v>7</v>
      </c>
      <c r="C5" s="1">
        <v>8</v>
      </c>
      <c r="D5" s="1">
        <v>9</v>
      </c>
      <c r="E5" s="1">
        <f t="shared" si="0"/>
        <v>8</v>
      </c>
      <c r="F5" s="1" t="str">
        <f t="shared" si="1"/>
        <v>Reprovado</v>
      </c>
    </row>
    <row r="6" spans="1:6" ht="16.5" thickTop="1" thickBot="1" x14ac:dyDescent="0.3">
      <c r="A6" s="1" t="s">
        <v>29</v>
      </c>
      <c r="B6" s="1">
        <v>13</v>
      </c>
      <c r="C6" s="1">
        <v>12</v>
      </c>
      <c r="D6" s="1">
        <v>14</v>
      </c>
      <c r="E6" s="1">
        <f t="shared" si="0"/>
        <v>13</v>
      </c>
      <c r="F6" s="1" t="str">
        <f t="shared" si="1"/>
        <v>Aprovado</v>
      </c>
    </row>
    <row r="7" spans="1:6" ht="16.5" thickTop="1" thickBot="1" x14ac:dyDescent="0.3">
      <c r="A7" s="1" t="s">
        <v>30</v>
      </c>
      <c r="B7" s="1">
        <v>10</v>
      </c>
      <c r="C7" s="1">
        <v>11</v>
      </c>
      <c r="D7" s="1">
        <v>12</v>
      </c>
      <c r="E7" s="1">
        <f t="shared" si="0"/>
        <v>11</v>
      </c>
      <c r="F7" s="1" t="str">
        <f t="shared" si="1"/>
        <v>Aprovado</v>
      </c>
    </row>
    <row r="8" spans="1:6" ht="16.5" thickTop="1" thickBot="1" x14ac:dyDescent="0.3">
      <c r="A8" s="1" t="s">
        <v>31</v>
      </c>
      <c r="B8" s="1">
        <v>8</v>
      </c>
      <c r="C8" s="1">
        <v>9</v>
      </c>
      <c r="D8" s="1">
        <v>7</v>
      </c>
      <c r="E8" s="1">
        <f t="shared" si="0"/>
        <v>8</v>
      </c>
      <c r="F8" s="1" t="str">
        <f t="shared" si="1"/>
        <v>Reprovado</v>
      </c>
    </row>
    <row r="9" spans="1:6" ht="16.5" thickTop="1" thickBot="1" x14ac:dyDescent="0.3">
      <c r="A9" s="1" t="s">
        <v>32</v>
      </c>
      <c r="B9" s="1">
        <v>16</v>
      </c>
      <c r="C9" s="1">
        <v>15</v>
      </c>
      <c r="D9" s="1">
        <v>17</v>
      </c>
      <c r="E9" s="1">
        <f t="shared" si="0"/>
        <v>16</v>
      </c>
      <c r="F9" s="1" t="str">
        <f t="shared" si="1"/>
        <v>Aprovado com destincao</v>
      </c>
    </row>
    <row r="10" spans="1:6" ht="16.5" thickTop="1" thickBot="1" x14ac:dyDescent="0.3">
      <c r="A10" s="1" t="s">
        <v>34</v>
      </c>
      <c r="B10" s="1">
        <v>11</v>
      </c>
      <c r="C10" s="1">
        <v>10</v>
      </c>
      <c r="D10" s="1">
        <v>12</v>
      </c>
      <c r="E10" s="1">
        <f t="shared" si="0"/>
        <v>11</v>
      </c>
      <c r="F10" s="1" t="str">
        <f t="shared" si="1"/>
        <v>Aprovado</v>
      </c>
    </row>
    <row r="11" spans="1:6" ht="16.5" thickTop="1" thickBot="1" x14ac:dyDescent="0.3">
      <c r="A11" s="1" t="s">
        <v>33</v>
      </c>
      <c r="B11" s="1">
        <v>14</v>
      </c>
      <c r="C11" s="1">
        <v>13</v>
      </c>
      <c r="D11" s="1">
        <v>15</v>
      </c>
      <c r="E11" s="1">
        <f t="shared" si="0"/>
        <v>14</v>
      </c>
      <c r="F11" s="1" t="str">
        <f t="shared" si="1"/>
        <v>Aprovado com destincao</v>
      </c>
    </row>
    <row r="12" spans="1:6" ht="15.75" thickTop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8EE8-D8A4-4701-8539-77D01E89BE00}">
  <dimension ref="A1:N15"/>
  <sheetViews>
    <sheetView workbookViewId="0">
      <selection activeCell="N15" sqref="N15"/>
    </sheetView>
  </sheetViews>
  <sheetFormatPr defaultRowHeight="15" x14ac:dyDescent="0.25"/>
  <cols>
    <col min="6" max="6" width="23.140625" bestFit="1" customWidth="1"/>
  </cols>
  <sheetData>
    <row r="1" spans="1:14" ht="16.5" thickTop="1" thickBot="1" x14ac:dyDescent="0.3">
      <c r="A1" s="1"/>
      <c r="B1" s="1"/>
      <c r="C1" s="1"/>
      <c r="D1" s="1"/>
      <c r="E1" s="4"/>
      <c r="F1" s="4"/>
    </row>
    <row r="2" spans="1:14" ht="16.5" thickTop="1" thickBot="1" x14ac:dyDescent="0.3">
      <c r="A2" s="9"/>
      <c r="B2" s="9"/>
      <c r="C2" s="9"/>
      <c r="D2" s="9"/>
      <c r="E2" s="9"/>
      <c r="F2" s="9"/>
    </row>
    <row r="3" spans="1:14" ht="16.5" thickTop="1" thickBot="1" x14ac:dyDescent="0.3">
      <c r="A3" s="10"/>
      <c r="B3" s="10"/>
      <c r="C3" s="10"/>
      <c r="D3" s="10"/>
      <c r="E3" s="10"/>
      <c r="F3" s="10"/>
    </row>
    <row r="4" spans="1:14" ht="16.5" thickTop="1" thickBot="1" x14ac:dyDescent="0.3">
      <c r="A4" s="9"/>
      <c r="B4" s="9"/>
      <c r="C4" s="9"/>
      <c r="D4" s="9"/>
      <c r="E4" s="9"/>
      <c r="F4" s="9"/>
    </row>
    <row r="5" spans="1:14" ht="16.5" thickTop="1" thickBot="1" x14ac:dyDescent="0.3">
      <c r="A5" s="10"/>
      <c r="B5" s="10"/>
      <c r="C5" s="10"/>
      <c r="D5" s="10"/>
      <c r="E5" s="10"/>
      <c r="F5" s="10"/>
    </row>
    <row r="6" spans="1:14" ht="16.5" thickTop="1" thickBot="1" x14ac:dyDescent="0.3">
      <c r="A6" s="9"/>
      <c r="B6" s="9"/>
      <c r="C6" s="9"/>
      <c r="D6" s="9"/>
      <c r="E6" s="9"/>
      <c r="F6" s="9"/>
    </row>
    <row r="7" spans="1:14" ht="16.5" thickTop="1" thickBot="1" x14ac:dyDescent="0.3">
      <c r="A7" s="9"/>
      <c r="B7" s="9"/>
      <c r="C7" s="9"/>
      <c r="D7" s="9"/>
      <c r="E7" s="9"/>
      <c r="F7" s="9"/>
    </row>
    <row r="8" spans="1:14" ht="16.5" thickTop="1" thickBot="1" x14ac:dyDescent="0.3">
      <c r="A8" s="10"/>
      <c r="B8" s="10"/>
      <c r="C8" s="10"/>
      <c r="D8" s="10"/>
      <c r="E8" s="10"/>
      <c r="F8" s="10"/>
    </row>
    <row r="9" spans="1:14" ht="16.5" thickTop="1" thickBot="1" x14ac:dyDescent="0.3">
      <c r="A9" s="10"/>
      <c r="B9" s="10"/>
      <c r="C9" s="10"/>
      <c r="D9" s="10"/>
      <c r="E9" s="10"/>
      <c r="F9" s="10"/>
    </row>
    <row r="10" spans="1:14" ht="16.5" thickTop="1" thickBot="1" x14ac:dyDescent="0.3">
      <c r="A10" s="10"/>
      <c r="B10" s="10"/>
      <c r="C10" s="10"/>
      <c r="D10" s="10"/>
      <c r="E10" s="10"/>
      <c r="F10" s="10"/>
    </row>
    <row r="11" spans="1:14" ht="16.5" thickTop="1" thickBot="1" x14ac:dyDescent="0.3">
      <c r="A11" s="10"/>
      <c r="B11" s="10"/>
      <c r="C11" s="10"/>
      <c r="D11" s="10"/>
      <c r="E11" s="10"/>
      <c r="F11" s="10"/>
    </row>
    <row r="12" spans="1:14" ht="15.75" thickTop="1" x14ac:dyDescent="0.25"/>
    <row r="15" spans="1:14" x14ac:dyDescent="0.25">
      <c r="N15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F150ED1-5376-4332-9F1E-0299B029D2B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A433206F-33C4-4710-92D5-6DBD2DC62A9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Gestao de Despesas</vt:lpstr>
      <vt:lpstr>Calculos</vt:lpstr>
      <vt:lpstr>Resumo Dinamico</vt:lpstr>
      <vt:lpstr>Estatistica</vt:lpstr>
      <vt:lpstr>Avaliacao</vt:lpstr>
      <vt:lpstr>Automacao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</dc:creator>
  <cp:lastModifiedBy>Hp 14</cp:lastModifiedBy>
  <dcterms:created xsi:type="dcterms:W3CDTF">2026-04-21T12:04:21Z</dcterms:created>
  <dcterms:modified xsi:type="dcterms:W3CDTF">2026-04-28T18:18:20Z</dcterms:modified>
</cp:coreProperties>
</file>